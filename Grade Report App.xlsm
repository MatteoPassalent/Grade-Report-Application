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42345d5fa5a4404f"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docs.live.net/fad9f7925a48fc29/CP212/"/>
    </mc:Choice>
  </mc:AlternateContent>
  <xr:revisionPtr revIDLastSave="22480" documentId="13_ncr:1_{3D2FC6A3-596A-425D-8ED0-1764657E52C3}" xr6:coauthVersionLast="47" xr6:coauthVersionMax="47" xr10:uidLastSave="{0DBA1D58-D8A8-425D-878E-191B1DA3C0D8}"/>
  <bookViews>
    <workbookView xWindow="3828" yWindow="2148" windowWidth="17280" windowHeight="8928" activeTab="1" xr2:uid="{4697C8B2-6155-469C-824E-CFB1A4069140}"/>
  </bookViews>
  <sheets>
    <sheet name="Instructions" sheetId="1" r:id="rId1"/>
    <sheet name="Enrolled Students" sheetId="56" r:id="rId2"/>
  </sheets>
  <definedNames>
    <definedName name="datarange">'Enrolled Students'!$M$3:$M$52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4" i="56" l="1"/>
  <c r="P23" i="56"/>
  <c r="P26" i="56"/>
  <c r="P25" i="56"/>
  <c r="P22" i="56"/>
  <c r="P21" i="56"/>
  <c r="D12" i="56"/>
  <c r="D8" i="56"/>
  <c r="D7" i="56"/>
  <c r="D11" i="56"/>
  <c r="D10" i="56"/>
  <c r="D9" i="56"/>
</calcChain>
</file>

<file path=xl/sharedStrings.xml><?xml version="1.0" encoding="utf-8"?>
<sst xmlns="http://schemas.openxmlformats.org/spreadsheetml/2006/main" count="169" uniqueCount="168">
  <si>
    <t>Syrena</t>
  </si>
  <si>
    <t>Kahar</t>
  </si>
  <si>
    <t>Zae</t>
  </si>
  <si>
    <t>Koro</t>
  </si>
  <si>
    <t>Lenders</t>
  </si>
  <si>
    <t>Mala</t>
  </si>
  <si>
    <t>Jag</t>
  </si>
  <si>
    <t>Innoruuk</t>
  </si>
  <si>
    <t>Keever</t>
  </si>
  <si>
    <t>Kaarl</t>
  </si>
  <si>
    <t>Tomas</t>
  </si>
  <si>
    <t>Irizon</t>
  </si>
  <si>
    <t>Allen</t>
  </si>
  <si>
    <t>Strilath</t>
  </si>
  <si>
    <t>Tomra</t>
  </si>
  <si>
    <t>Adoniram</t>
  </si>
  <si>
    <t>Braganti</t>
  </si>
  <si>
    <t>Oren</t>
  </si>
  <si>
    <t>Reiko</t>
  </si>
  <si>
    <t>Jakuu</t>
  </si>
  <si>
    <t>Tifa</t>
  </si>
  <si>
    <t>Adan</t>
  </si>
  <si>
    <t>Del-Nara</t>
  </si>
  <si>
    <t>Xerda</t>
  </si>
  <si>
    <t>Lila</t>
  </si>
  <si>
    <t>Noah</t>
  </si>
  <si>
    <t>Yiukie</t>
  </si>
  <si>
    <t>Kai</t>
  </si>
  <si>
    <t>Tobian</t>
  </si>
  <si>
    <t>Gaeton</t>
  </si>
  <si>
    <t>Montross</t>
  </si>
  <si>
    <t>Karn</t>
  </si>
  <si>
    <t>Tendra</t>
  </si>
  <si>
    <t>Ara</t>
  </si>
  <si>
    <t>Ubinaarisan</t>
  </si>
  <si>
    <t>Tarash</t>
  </si>
  <si>
    <t>Shivas</t>
  </si>
  <si>
    <t>Akana</t>
  </si>
  <si>
    <t>Kristofer</t>
  </si>
  <si>
    <t>Roth</t>
  </si>
  <si>
    <t>Roy</t>
  </si>
  <si>
    <t>Dorn</t>
  </si>
  <si>
    <t>Karva</t>
  </si>
  <si>
    <t>Cess</t>
  </si>
  <si>
    <t>Agnook</t>
  </si>
  <si>
    <t>Dodge</t>
  </si>
  <si>
    <t>Ghent</t>
  </si>
  <si>
    <t>Shass</t>
  </si>
  <si>
    <t>Anjylle</t>
  </si>
  <si>
    <t>Sim</t>
  </si>
  <si>
    <t>Endivain</t>
  </si>
  <si>
    <t>Donos</t>
  </si>
  <si>
    <t>Kaiser</t>
  </si>
  <si>
    <t>Magre</t>
  </si>
  <si>
    <t>Turon</t>
  </si>
  <si>
    <t>Varless</t>
  </si>
  <si>
    <t>Nafeel</t>
  </si>
  <si>
    <t>Finn</t>
  </si>
  <si>
    <t>Phrog</t>
  </si>
  <si>
    <t>Nooram</t>
  </si>
  <si>
    <t>Pescer</t>
  </si>
  <si>
    <t>Exibil</t>
  </si>
  <si>
    <t>Bernard</t>
  </si>
  <si>
    <t>Mnaa</t>
  </si>
  <si>
    <t>Yavoog</t>
  </si>
  <si>
    <t>Vadith</t>
  </si>
  <si>
    <t>Sudime</t>
  </si>
  <si>
    <t>Haruhana</t>
  </si>
  <si>
    <t>Erelen</t>
  </si>
  <si>
    <t>Hawkes</t>
  </si>
  <si>
    <t>Nere</t>
  </si>
  <si>
    <t>Mackali</t>
  </si>
  <si>
    <t>Cardan</t>
  </si>
  <si>
    <t>Duann</t>
  </si>
  <si>
    <t>Bintaghr</t>
  </si>
  <si>
    <t>Rohtul</t>
  </si>
  <si>
    <t>Eronoss</t>
  </si>
  <si>
    <t>Dalgas</t>
  </si>
  <si>
    <t>Tarmin</t>
  </si>
  <si>
    <t>Lerann</t>
  </si>
  <si>
    <t>Anarth</t>
  </si>
  <si>
    <t>Tong</t>
  </si>
  <si>
    <t>Olgad</t>
  </si>
  <si>
    <t>Zerga</t>
  </si>
  <si>
    <t>Shaknaw</t>
  </si>
  <si>
    <t>Selkayim</t>
  </si>
  <si>
    <t>Leqarna</t>
  </si>
  <si>
    <t>Morrow</t>
  </si>
  <si>
    <t>Kriek Kolbrun</t>
  </si>
  <si>
    <t>We</t>
  </si>
  <si>
    <t>Starwalker</t>
  </si>
  <si>
    <t>Shysha</t>
  </si>
  <si>
    <t>Shapris</t>
  </si>
  <si>
    <t>Zayelt</t>
  </si>
  <si>
    <t>Tiovata</t>
  </si>
  <si>
    <t>Jantsk</t>
  </si>
  <si>
    <t>Taurendil</t>
  </si>
  <si>
    <t>Major</t>
  </si>
  <si>
    <t>Ulluto</t>
  </si>
  <si>
    <t>Ashen</t>
  </si>
  <si>
    <t>2015_1</t>
  </si>
  <si>
    <t>2015_2</t>
  </si>
  <si>
    <t>2015_3</t>
  </si>
  <si>
    <t>2015_4</t>
  </si>
  <si>
    <t>2015_5</t>
  </si>
  <si>
    <t>2015_6</t>
  </si>
  <si>
    <t>2015_7</t>
  </si>
  <si>
    <t>2015_8</t>
  </si>
  <si>
    <t>2015_9</t>
  </si>
  <si>
    <t>2015_10</t>
  </si>
  <si>
    <t>2015_11</t>
  </si>
  <si>
    <t>2015_12</t>
  </si>
  <si>
    <t>2015_13</t>
  </si>
  <si>
    <t>2015_14</t>
  </si>
  <si>
    <t>2015_15</t>
  </si>
  <si>
    <t>2015_16</t>
  </si>
  <si>
    <t>2015_17</t>
  </si>
  <si>
    <t>2015_18</t>
  </si>
  <si>
    <t>2015_19</t>
  </si>
  <si>
    <t>2015_20</t>
  </si>
  <si>
    <t>2015_21</t>
  </si>
  <si>
    <t>2015_22</t>
  </si>
  <si>
    <t>2015_23</t>
  </si>
  <si>
    <t>2015_24</t>
  </si>
  <si>
    <t>2015_25</t>
  </si>
  <si>
    <t>2015_26</t>
  </si>
  <si>
    <t>2015_27</t>
  </si>
  <si>
    <t>2015_28</t>
  </si>
  <si>
    <t>2015_29</t>
  </si>
  <si>
    <t>2015_30</t>
  </si>
  <si>
    <t>2015_31</t>
  </si>
  <si>
    <t>2015_32</t>
  </si>
  <si>
    <t>2015_33</t>
  </si>
  <si>
    <t>2015_34</t>
  </si>
  <si>
    <t>2015_35</t>
  </si>
  <si>
    <t>2015_36</t>
  </si>
  <si>
    <t>2015_37</t>
  </si>
  <si>
    <t>2015_38</t>
  </si>
  <si>
    <t>2015_39</t>
  </si>
  <si>
    <t>2015_40</t>
  </si>
  <si>
    <t>2015_41</t>
  </si>
  <si>
    <t>2015_42</t>
  </si>
  <si>
    <t>2015_43</t>
  </si>
  <si>
    <t>2015_44</t>
  </si>
  <si>
    <t>2015_45</t>
  </si>
  <si>
    <t>2015_46</t>
  </si>
  <si>
    <t>2015_47</t>
  </si>
  <si>
    <t>2015_48</t>
  </si>
  <si>
    <t>2015_49</t>
  </si>
  <si>
    <t>2015_50</t>
  </si>
  <si>
    <t>First Name</t>
  </si>
  <si>
    <t>Last Name</t>
  </si>
  <si>
    <t>Student ID</t>
  </si>
  <si>
    <t>Grade</t>
  </si>
  <si>
    <t>Frequency</t>
  </si>
  <si>
    <t>Upper Bound</t>
  </si>
  <si>
    <t>Fail</t>
  </si>
  <si>
    <t>Key Statistics</t>
  </si>
  <si>
    <t>Mean</t>
  </si>
  <si>
    <t>Median</t>
  </si>
  <si>
    <t>Mode</t>
  </si>
  <si>
    <t>Std. Dev</t>
  </si>
  <si>
    <t>Min</t>
  </si>
  <si>
    <t>Max</t>
  </si>
  <si>
    <t>Class</t>
  </si>
  <si>
    <t>Assigment</t>
  </si>
  <si>
    <t>CP104</t>
  </si>
  <si>
    <t>A3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</si>
</sst>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name val="Calibri"/>
      <family val="2"/>
      <scheme val="minor"/>
    </font>
    <font>
      <u/>
      <sz val="11"/>
      <color theme="1"/>
      <name val="Calibri"/>
      <family val="2"/>
      <scheme val="minor"/>
    </font>
  </fonts>
  <fills count="5">
    <fill>
      <patternFill patternType="none"/>
    </fill>
    <fill>
      <patternFill patternType="gray125"/>
    </fill>
    <fill>
      <patternFill patternType="solid">
        <fgColor theme="2" tint="-9.9978637043366805E-2"/>
        <bgColor indexed="64"/>
      </patternFill>
    </fill>
    <fill>
      <patternFill patternType="solid">
        <fgColor theme="7" tint="0.79995117038483843"/>
        <bgColor indexed="64"/>
      </patternFill>
    </fill>
    <fill>
      <patternFill patternType="solid">
        <fgColor theme="7" tint="0.79998168889431442"/>
        <bgColor indexed="64"/>
      </patternFill>
    </fill>
  </fills>
  <borders count="12">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1">
    <xf numFmtId="0" fontId="0" fillId="0" borderId="0"/>
  </cellStyleXfs>
  <cellXfs count="32">
    <xf numFmtId="0" fontId="0" fillId="0" borderId="0" xfId="0"/>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3" xfId="0" applyFont="1" applyFill="1" applyBorder="1" applyAlignment="1">
      <alignment horizontal="left"/>
    </xf>
    <xf numFmtId="0" fontId="1" fillId="2" borderId="2" xfId="0" applyFont="1" applyFill="1" applyBorder="1" applyAlignment="1">
      <alignment horizontal="left"/>
    </xf>
    <xf numFmtId="0" fontId="0" fillId="3" borderId="9" xfId="0" applyFill="1" applyBorder="1" applyAlignment="1">
      <alignment horizont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7" xfId="0" applyFill="1" applyBorder="1" applyAlignment="1">
      <alignment horizontal="center"/>
    </xf>
    <xf numFmtId="0" fontId="0" fillId="3" borderId="8" xfId="0" applyFill="1" applyBorder="1" applyAlignment="1">
      <alignment horizontal="center"/>
    </xf>
    <xf numFmtId="1" fontId="2" fillId="0" borderId="0" xfId="0" applyNumberFormat="1" applyFont="1"/>
    <xf numFmtId="0" fontId="2" fillId="0" borderId="0" xfId="0" applyFont="1"/>
    <xf numFmtId="1" fontId="2" fillId="0" borderId="0" xfId="0" applyNumberFormat="1" applyFont="1" applyAlignment="1">
      <alignment horizontal="right"/>
    </xf>
    <xf numFmtId="0" fontId="0" fillId="3" borderId="6" xfId="0" applyFill="1" applyBorder="1" applyAlignment="1">
      <alignment horizontal="center"/>
    </xf>
    <xf numFmtId="0" fontId="0" fillId="3" borderId="5" xfId="0" applyFill="1" applyBorder="1" applyAlignment="1">
      <alignment horizontal="center"/>
    </xf>
    <xf numFmtId="0" fontId="0" fillId="3" borderId="10" xfId="0" applyFill="1" applyBorder="1" applyAlignment="1">
      <alignment horizontal="center"/>
    </xf>
    <xf numFmtId="0" fontId="1" fillId="0" borderId="0" xfId="0" applyFont="1" applyAlignment="1">
      <alignment horizontal="left"/>
    </xf>
    <xf numFmtId="0" fontId="1" fillId="0" borderId="0" xfId="0" applyFont="1" applyAlignment="1">
      <alignment horizontal="center"/>
    </xf>
    <xf numFmtId="0" fontId="0" fillId="0" borderId="0" xfId="0" applyAlignment="1">
      <alignment horizontal="center"/>
    </xf>
    <xf numFmtId="0" fontId="4" fillId="0" borderId="0" xfId="0" applyFont="1"/>
    <xf numFmtId="0" fontId="0" fillId="4" borderId="8" xfId="0" applyFill="1" applyBorder="1"/>
    <xf numFmtId="0" fontId="0" fillId="4" borderId="9" xfId="0" applyFill="1" applyBorder="1"/>
    <xf numFmtId="0" fontId="0" fillId="4" borderId="6" xfId="0" applyFill="1" applyBorder="1" applyAlignment="1">
      <alignment horizontal="left"/>
    </xf>
    <xf numFmtId="0" fontId="0" fillId="4" borderId="5" xfId="0" applyFill="1" applyBorder="1" applyAlignment="1">
      <alignment horizontal="left"/>
    </xf>
    <xf numFmtId="0" fontId="0" fillId="4" borderId="10" xfId="0" applyFill="1" applyBorder="1" applyAlignment="1">
      <alignment horizontal="left"/>
    </xf>
    <xf numFmtId="2" fontId="0" fillId="4" borderId="11" xfId="0" applyNumberFormat="1" applyFill="1" applyBorder="1"/>
    <xf numFmtId="0" fontId="1" fillId="2" borderId="4" xfId="0" applyFont="1" applyFill="1" applyBorder="1" applyAlignment="1">
      <alignment horizontal="right"/>
    </xf>
    <xf numFmtId="0" fontId="1" fillId="2" borderId="6" xfId="0" applyFont="1" applyFill="1" applyBorder="1" applyAlignment="1">
      <alignment horizontal="center"/>
    </xf>
    <xf numFmtId="0" fontId="4" fillId="0" borderId="0" xfId="0" applyFont="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xf numFmtId="0" fontId="0" fillId="3" borderId="0"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Grade Distribution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551181102362202E-2"/>
          <c:y val="0.19500525762355417"/>
          <c:w val="0.90020224355517209"/>
          <c:h val="0.68302698361442993"/>
        </c:manualLayout>
      </c:layout>
      <c:barChart>
        <c:barDir val="col"/>
        <c:grouping val="clustered"/>
        <c:varyColors val="0"/>
        <c:ser>
          <c:idx val="0"/>
          <c:order val="0"/>
          <c:tx>
            <c:strRef>
              <c:f>'Enrolled Students'!$D$6</c:f>
              <c:strCache>
                <c:ptCount val="1"/>
                <c:pt idx="0">
                  <c:v>Frequency</c:v>
                </c:pt>
              </c:strCache>
            </c:strRef>
          </c:tx>
          <c:spPr>
            <a:solidFill>
              <a:schemeClr val="accent1"/>
            </a:solidFill>
            <a:ln>
              <a:noFill/>
            </a:ln>
            <a:effectLst/>
          </c:spPr>
          <c:invertIfNegative val="0"/>
          <c:dPt>
            <c:idx val="4"/>
            <c:invertIfNegative val="0"/>
            <c:bubble3D val="0"/>
            <c:spPr>
              <a:solidFill>
                <a:schemeClr val="accent1"/>
              </a:solidFill>
              <a:ln>
                <a:noFill/>
              </a:ln>
              <a:effectLst>
                <a:outerShdw blurRad="50800" dist="50800" dir="5400000" sx="98000" sy="98000" algn="ctr" rotWithShape="0">
                  <a:srgbClr val="000000">
                    <a:alpha val="43137"/>
                  </a:srgbClr>
                </a:outerShdw>
                <a:softEdge rad="0"/>
              </a:effectLst>
            </c:spPr>
            <c:extLst>
              <c:ext xmlns:c16="http://schemas.microsoft.com/office/drawing/2014/chart" uri="{C3380CC4-5D6E-409C-BE32-E72D297353CC}">
                <c16:uniqueId val="{00000002-6285-4E7B-946C-1C3E65D3E60A}"/>
              </c:ext>
            </c:extLst>
          </c:dPt>
          <c:cat>
            <c:strRef>
              <c:f>'Enrolled Students'!$C$7:$C$12</c:f>
              <c:strCache>
                <c:ptCount val="6"/>
                <c:pt idx="0">
                  <c:v>Fail</c:v>
                </c:pt>
                <c:pt idx="1">
                  <c:v>60</c:v>
                </c:pt>
                <c:pt idx="2">
                  <c:v>70</c:v>
                </c:pt>
                <c:pt idx="3">
                  <c:v>80</c:v>
                </c:pt>
                <c:pt idx="4">
                  <c:v>90</c:v>
                </c:pt>
                <c:pt idx="5">
                  <c:v>100</c:v>
                </c:pt>
              </c:strCache>
            </c:strRef>
          </c:cat>
          <c:val>
            <c:numRef>
              <c:f>'Enrolled Students'!$D$7:$D$12</c:f>
              <c:numCache>
                <c:formatCode>General</c:formatCode>
                <c:ptCount val="6"/>
                <c:pt idx="0">
                  <c:v>2</c:v>
                </c:pt>
                <c:pt idx="1">
                  <c:v>13</c:v>
                </c:pt>
                <c:pt idx="2">
                  <c:v>11</c:v>
                </c:pt>
                <c:pt idx="3">
                  <c:v>10</c:v>
                </c:pt>
                <c:pt idx="4">
                  <c:v>8</c:v>
                </c:pt>
                <c:pt idx="5">
                  <c:v>6</c:v>
                </c:pt>
              </c:numCache>
            </c:numRef>
          </c:val>
          <c:extLst>
            <c:ext xmlns:c16="http://schemas.microsoft.com/office/drawing/2014/chart" uri="{C3380CC4-5D6E-409C-BE32-E72D297353CC}">
              <c16:uniqueId val="{00000000-6285-4E7B-946C-1C3E65D3E60A}"/>
            </c:ext>
          </c:extLst>
        </c:ser>
        <c:dLbls>
          <c:showLegendKey val="0"/>
          <c:showVal val="0"/>
          <c:showCatName val="0"/>
          <c:showSerName val="0"/>
          <c:showPercent val="0"/>
          <c:showBubbleSize val="0"/>
        </c:dLbls>
        <c:gapWidth val="0"/>
        <c:overlap val="-100"/>
        <c:axId val="652761183"/>
        <c:axId val="652765759"/>
      </c:barChart>
      <c:catAx>
        <c:axId val="6527611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765759"/>
        <c:crosses val="autoZero"/>
        <c:auto val="1"/>
        <c:lblAlgn val="ctr"/>
        <c:lblOffset val="100"/>
        <c:noMultiLvlLbl val="0"/>
      </c:catAx>
      <c:valAx>
        <c:axId val="6527657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76118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281940</xdr:colOff>
      <xdr:row>3</xdr:row>
      <xdr:rowOff>0</xdr:rowOff>
    </xdr:from>
    <xdr:to>
      <xdr:col>14</xdr:col>
      <xdr:colOff>403860</xdr:colOff>
      <xdr:row>26</xdr:row>
      <xdr:rowOff>137160</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549140" y="548640"/>
          <a:ext cx="5227320" cy="4343400"/>
        </a:xfrm>
        <a:prstGeom prst="roundRect">
          <a:avLst/>
        </a:prstGeom>
        <a:solidFill>
          <a:schemeClr val="accent4">
            <a:lumMod val="20000"/>
            <a:lumOff val="80000"/>
          </a:schemeClr>
        </a:solidFill>
        <a:ln>
          <a:solidFill>
            <a:schemeClr val="tx1"/>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r>
            <a:rPr lang="en-CA" sz="1100">
              <a:solidFill>
                <a:schemeClr val="dk1"/>
              </a:solidFill>
              <a:effectLst/>
              <a:latin typeface="+mn-lt"/>
              <a:ea typeface="+mn-ea"/>
              <a:cs typeface="+mn-cs"/>
            </a:rPr>
            <a:t>The following VBA application queries a database of student grades and returns a detailed analysis of students grades by individual assignment for each available course. To use this application start by navigating to the tab on the top of the workbook and select “Grades”. Click the “Assignment Grades Button to bring load the application.</a:t>
          </a:r>
        </a:p>
        <a:p>
          <a:r>
            <a:rPr lang="en-CA" sz="1100">
              <a:solidFill>
                <a:schemeClr val="dk1"/>
              </a:solidFill>
              <a:effectLst/>
              <a:latin typeface="+mn-lt"/>
              <a:ea typeface="+mn-ea"/>
              <a:cs typeface="+mn-cs"/>
            </a:rPr>
            <a:t> </a:t>
          </a:r>
        </a:p>
        <a:p>
          <a:r>
            <a:rPr lang="en-CA" sz="1100">
              <a:solidFill>
                <a:schemeClr val="dk1"/>
              </a:solidFill>
              <a:effectLst/>
              <a:latin typeface="+mn-lt"/>
              <a:ea typeface="+mn-ea"/>
              <a:cs typeface="+mn-cs"/>
            </a:rPr>
            <a:t>Select “Import Database” then continue. You will be brought to a new user. Here you can browse through your file explorer and pick your desired student grade database. Hit confirm and you will be brought back to the first form. </a:t>
          </a:r>
        </a:p>
        <a:p>
          <a:r>
            <a:rPr lang="en-CA" sz="1100">
              <a:solidFill>
                <a:schemeClr val="dk1"/>
              </a:solidFill>
              <a:effectLst/>
              <a:latin typeface="+mn-lt"/>
              <a:ea typeface="+mn-ea"/>
              <a:cs typeface="+mn-cs"/>
            </a:rPr>
            <a:t> </a:t>
          </a:r>
        </a:p>
        <a:p>
          <a:r>
            <a:rPr lang="en-CA" sz="1100">
              <a:solidFill>
                <a:schemeClr val="dk1"/>
              </a:solidFill>
              <a:effectLst/>
              <a:latin typeface="+mn-lt"/>
              <a:ea typeface="+mn-ea"/>
              <a:cs typeface="+mn-cs"/>
            </a:rPr>
            <a:t>Now select the select assignment option and hit continue. You will now be brought to another user form where you can select the course and assignment you wish to view. Hit confirm and you will be brought back to the first form once more. </a:t>
          </a:r>
        </a:p>
        <a:p>
          <a:r>
            <a:rPr lang="en-CA" sz="1100">
              <a:solidFill>
                <a:schemeClr val="dk1"/>
              </a:solidFill>
              <a:effectLst/>
              <a:latin typeface="+mn-lt"/>
              <a:ea typeface="+mn-ea"/>
              <a:cs typeface="+mn-cs"/>
            </a:rPr>
            <a:t> </a:t>
          </a:r>
        </a:p>
        <a:p>
          <a:r>
            <a:rPr lang="en-CA" sz="1100">
              <a:solidFill>
                <a:schemeClr val="dk1"/>
              </a:solidFill>
              <a:effectLst/>
              <a:latin typeface="+mn-lt"/>
              <a:ea typeface="+mn-ea"/>
              <a:cs typeface="+mn-cs"/>
            </a:rPr>
            <a:t>Now you can use the “Display Data” and “Create Report” button to view the student grade information for the assignment you selected. Here you will be brough to a new sheet where you can see the full list of students, their information and grades, a chart of the grade distribution as well as some key statistics such as min, max, median and standard deviation. Additionally, you will be able to see this information highlighted in the word report. </a:t>
          </a:r>
        </a:p>
        <a:p>
          <a:pPr algn="l"/>
          <a:endParaRPr lang="en-CA" sz="1100"/>
        </a:p>
      </xdr:txBody>
    </xdr:sp>
    <xdr:clientData/>
  </xdr:twoCellAnchor>
  <xdr:twoCellAnchor>
    <xdr:from>
      <xdr:col>9</xdr:col>
      <xdr:colOff>0</xdr:colOff>
      <xdr:row>0</xdr:row>
      <xdr:rowOff>144780</xdr:rowOff>
    </xdr:from>
    <xdr:to>
      <xdr:col>13</xdr:col>
      <xdr:colOff>0</xdr:colOff>
      <xdr:row>2</xdr:row>
      <xdr:rowOff>114300</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5486400" y="144780"/>
          <a:ext cx="3276600" cy="335280"/>
        </a:xfrm>
        <a:prstGeom prst="roundRect">
          <a:avLst/>
        </a:prstGeom>
        <a:solidFill>
          <a:schemeClr val="bg2">
            <a:lumMod val="9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600" b="1">
              <a:solidFill>
                <a:schemeClr val="tx1"/>
              </a:solidFill>
              <a:effectLst/>
              <a:latin typeface="+mn-lt"/>
              <a:ea typeface="+mn-ea"/>
              <a:cs typeface="+mn-cs"/>
            </a:rPr>
            <a:t>Assignment Grade App Instructions</a:t>
          </a:r>
          <a:endParaRPr lang="en-CA" sz="1600">
            <a:solidFill>
              <a:schemeClr val="tx1"/>
            </a:solidFill>
            <a:effectLst/>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182880</xdr:colOff>
          <xdr:row>1</xdr:row>
          <xdr:rowOff>0</xdr:rowOff>
        </xdr:from>
        <xdr:to>
          <xdr:col>15</xdr:col>
          <xdr:colOff>320040</xdr:colOff>
          <xdr:row>4</xdr:row>
          <xdr:rowOff>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100-000002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Display Chart</a:t>
              </a:r>
            </a:p>
          </xdr:txBody>
        </xdr:sp>
        <xdr:clientData fPrintsWithSheet="0"/>
      </xdr:twoCellAnchor>
    </mc:Choice>
    <mc:Fallback/>
  </mc:AlternateContent>
  <xdr:twoCellAnchor>
    <xdr:from>
      <xdr:col>13</xdr:col>
      <xdr:colOff>251460</xdr:colOff>
      <xdr:row>4</xdr:row>
      <xdr:rowOff>167640</xdr:rowOff>
    </xdr:from>
    <xdr:to>
      <xdr:col>20</xdr:col>
      <xdr:colOff>556260</xdr:colOff>
      <xdr:row>18</xdr:row>
      <xdr:rowOff>22860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19</xdr:col>
          <xdr:colOff>167640</xdr:colOff>
          <xdr:row>5</xdr:row>
          <xdr:rowOff>45720</xdr:rowOff>
        </xdr:from>
        <xdr:to>
          <xdr:col>20</xdr:col>
          <xdr:colOff>403860</xdr:colOff>
          <xdr:row>7</xdr:row>
          <xdr:rowOff>22860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100-000003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Hide Chart</a:t>
              </a:r>
            </a:p>
          </xdr:txBody>
        </xdr:sp>
        <xdr:clientData fPrintsWithSheet="0"/>
      </xdr:twoCellAnchor>
    </mc:Choice>
    <mc:Fallback/>
  </mc:AlternateContent>
  <xdr:twoCellAnchor>
    <xdr:from>
      <xdr:col>18</xdr:col>
      <xdr:colOff>99060</xdr:colOff>
      <xdr:row>3</xdr:row>
      <xdr:rowOff>121920</xdr:rowOff>
    </xdr:from>
    <xdr:to>
      <xdr:col>21</xdr:col>
      <xdr:colOff>152400</xdr:colOff>
      <xdr:row>8</xdr:row>
      <xdr:rowOff>91440</xdr:rowOff>
    </xdr:to>
    <xdr:sp macro="" textlink="">
      <xdr:nvSpPr>
        <xdr:cNvPr id="7" name="Rectangle 6" hidden="1">
          <a:extLst>
            <a:ext uri="{FF2B5EF4-FFF2-40B4-BE49-F238E27FC236}">
              <a16:creationId xmlns:a16="http://schemas.microsoft.com/office/drawing/2014/main" id="{00000000-0008-0000-0100-000007000000}"/>
            </a:ext>
          </a:extLst>
        </xdr:cNvPr>
        <xdr:cNvSpPr/>
      </xdr:nvSpPr>
      <xdr:spPr>
        <a:xfrm>
          <a:off x="12131040" y="670560"/>
          <a:ext cx="1882140" cy="88392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mc:AlternateContent xmlns:mc="http://schemas.openxmlformats.org/markup-compatibility/2006">
    <mc:Choice xmlns:a14="http://schemas.microsoft.com/office/drawing/2010/main" Requires="a14">
      <xdr:twoCellAnchor>
        <xdr:from>
          <xdr:col>0</xdr:col>
          <xdr:colOff>99060</xdr:colOff>
          <xdr:row>0</xdr:row>
          <xdr:rowOff>76200</xdr:rowOff>
        </xdr:from>
        <xdr:to>
          <xdr:col>1</xdr:col>
          <xdr:colOff>472440</xdr:colOff>
          <xdr:row>2</xdr:row>
          <xdr:rowOff>83820</xdr:rowOff>
        </xdr:to>
        <xdr:sp macro="" textlink="">
          <xdr:nvSpPr>
            <xdr:cNvPr id="25605" name="Button 5" hidden="1">
              <a:extLst>
                <a:ext uri="{63B3BB69-23CF-44E3-9099-C40C66FF867C}">
                  <a14:compatExt spid="_x0000_s25605"/>
                </a:ext>
                <a:ext uri="{FF2B5EF4-FFF2-40B4-BE49-F238E27FC236}">
                  <a16:creationId xmlns:a16="http://schemas.microsoft.com/office/drawing/2014/main" id="{00000000-0008-0000-0100-000005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100" b="0" i="0" u="none" strike="noStrike" baseline="0">
                  <a:solidFill>
                    <a:srgbClr val="000000"/>
                  </a:solidFill>
                  <a:latin typeface="Calibri"/>
                  <a:ea typeface="Calibri"/>
                  <a:cs typeface="Calibri"/>
                </a:rPr>
                <a:t>Close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D873-ECD7-461B-8673-0F5F0B0AC50F}">
  <sheetPr codeName="Sheet1"/>
  <dimension ref="J1:M2"/>
  <sheetViews>
    <sheetView showGridLines="0" showRowColHeaders="0" workbookViewId="0">
      <selection activeCell="F5" sqref="F5"/>
    </sheetView>
  </sheetViews>
  <sheetFormatPr defaultRowHeight="14.4" x14ac:dyDescent="0.3"/>
  <cols>
    <col min="10" max="10" width="13.21875" style="18" customWidth="1"/>
    <col min="11" max="11" width="12" style="18" customWidth="1"/>
    <col min="12" max="12" width="12.6640625" style="18" customWidth="1"/>
    <col min="13" max="13" width="9.88671875" style="18" customWidth="1"/>
  </cols>
  <sheetData>
    <row r="1" spans="10:13" x14ac:dyDescent="0.3">
      <c r="J1"/>
      <c r="K1"/>
      <c r="L1"/>
      <c r="M1"/>
    </row>
    <row r="2" spans="10:13" x14ac:dyDescent="0.3">
      <c r="J2" s="16"/>
      <c r="K2" s="16"/>
      <c r="L2" s="17"/>
      <c r="M2" s="17"/>
    </row>
  </sheetData>
  <sheetProtection sheet="1" objects="1" scenarios="1"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53E1-B85E-42DD-93BA-E222E7DE9665}">
  <sheetPr codeName="Sheet32"/>
  <dimension ref="B2:P52"/>
  <sheetViews>
    <sheetView showGridLines="0" tabSelected="1" topLeftCell="D1" workbookViewId="0">
      <selection activeCell="D21" sqref="D21"/>
    </sheetView>
  </sheetViews>
  <sheetFormatPr defaultRowHeight="14.4" x14ac:dyDescent="0.3"/>
  <cols>
    <col min="3" max="3" width="12.109375" customWidth="1"/>
    <col min="6" max="6" width="8.88671875" customWidth="1"/>
    <col min="7" max="7" width="8" customWidth="1"/>
    <col min="8" max="8" width="9.77734375" customWidth="1"/>
    <col min="9" max="9" width="3.21875" customWidth="1"/>
    <col min="10" max="10" width="13.21875" customWidth="1"/>
    <col min="11" max="11" width="12" customWidth="1"/>
    <col min="12" max="12" width="12.6640625" customWidth="1"/>
    <col min="13" max="13" width="9.88671875" customWidth="1"/>
    <col min="14" max="14" width="3.5546875" customWidth="1"/>
    <col min="15" max="15" width="11.6640625" customWidth="1"/>
    <col min="16" max="16" width="9.5546875" bestFit="1" customWidth="1"/>
  </cols>
  <sheetData>
    <row r="2" spans="2:13" x14ac:dyDescent="0.3">
      <c r="G2" s="27" t="s">
        <v>164</v>
      </c>
      <c r="H2" s="26" t="s">
        <v>165</v>
      </c>
      <c r="J2" s="3" t="s">
        <v>150</v>
      </c>
      <c r="K2" s="4" t="s">
        <v>151</v>
      </c>
      <c r="L2" s="1" t="s">
        <v>152</v>
      </c>
      <c r="M2" s="2" t="s">
        <v>153</v>
      </c>
    </row>
    <row r="3" spans="2:13" x14ac:dyDescent="0.3">
      <c r="B3" s="11"/>
      <c r="C3" s="11"/>
      <c r="D3" s="11"/>
      <c r="E3" s="11"/>
      <c r="F3" s="11"/>
      <c r="G3" s="29" t="s">
        <v>166</v>
      </c>
      <c r="H3" s="30" t="s">
        <v>167</v>
      </c>
      <c r="J3" s="13" t="s">
        <v>0</v>
      </c>
      <c r="K3" s="8" t="s">
        <v>50</v>
      </c>
      <c r="L3" s="8" t="s">
        <v>100</v>
      </c>
      <c r="M3" s="9">
        <v>61</v>
      </c>
    </row>
    <row r="4" spans="2:13" x14ac:dyDescent="0.3">
      <c r="B4" s="11"/>
      <c r="C4" s="10"/>
      <c r="D4" s="11"/>
      <c r="E4" s="11"/>
      <c r="F4" s="11"/>
      <c r="G4" s="19"/>
      <c r="J4" s="14" t="s">
        <v>1</v>
      </c>
      <c r="K4" s="31" t="s">
        <v>51</v>
      </c>
      <c r="L4" s="31" t="s">
        <v>101</v>
      </c>
      <c r="M4" s="5">
        <v>49</v>
      </c>
    </row>
    <row r="5" spans="2:13" x14ac:dyDescent="0.3">
      <c r="B5" s="11"/>
      <c r="C5" s="10"/>
      <c r="D5" s="11"/>
      <c r="E5" s="11"/>
      <c r="F5" s="11"/>
      <c r="G5" s="19"/>
      <c r="J5" s="14" t="s">
        <v>2</v>
      </c>
      <c r="K5" s="31" t="s">
        <v>52</v>
      </c>
      <c r="L5" s="31" t="s">
        <v>102</v>
      </c>
      <c r="M5" s="5">
        <v>97</v>
      </c>
    </row>
    <row r="6" spans="2:13" x14ac:dyDescent="0.3">
      <c r="B6" s="11"/>
      <c r="C6" s="11" t="s">
        <v>155</v>
      </c>
      <c r="D6" s="11" t="s">
        <v>154</v>
      </c>
      <c r="E6" s="11"/>
      <c r="F6" s="11"/>
      <c r="G6" s="19"/>
      <c r="J6" s="14" t="s">
        <v>3</v>
      </c>
      <c r="K6" s="31" t="s">
        <v>53</v>
      </c>
      <c r="L6" s="31" t="s">
        <v>103</v>
      </c>
      <c r="M6" s="5">
        <v>60</v>
      </c>
    </row>
    <row r="7" spans="2:13" x14ac:dyDescent="0.3">
      <c r="B7" s="11"/>
      <c r="C7" s="12" t="s">
        <v>156</v>
      </c>
      <c r="D7" s="11">
        <f>COUNTIF(datarange, "&lt;50")</f>
        <v>2</v>
      </c>
      <c r="E7" s="11"/>
      <c r="F7" s="11"/>
      <c r="G7" s="19"/>
      <c r="J7" s="14" t="s">
        <v>4</v>
      </c>
      <c r="K7" s="31" t="s">
        <v>54</v>
      </c>
      <c r="L7" s="31" t="s">
        <v>104</v>
      </c>
      <c r="M7" s="5">
        <v>64</v>
      </c>
    </row>
    <row r="8" spans="2:13" x14ac:dyDescent="0.3">
      <c r="B8" s="11"/>
      <c r="C8" s="10">
        <v>60</v>
      </c>
      <c r="D8" s="11">
        <f>COUNTIF(datarange, "&gt;=50")-COUNTIF(datarange, "&gt;60")</f>
        <v>13</v>
      </c>
      <c r="E8" s="11"/>
      <c r="F8" s="11"/>
      <c r="G8" s="19"/>
      <c r="J8" s="14" t="s">
        <v>5</v>
      </c>
      <c r="K8" s="31" t="s">
        <v>55</v>
      </c>
      <c r="L8" s="31" t="s">
        <v>105</v>
      </c>
      <c r="M8" s="5">
        <v>60</v>
      </c>
    </row>
    <row r="9" spans="2:13" x14ac:dyDescent="0.3">
      <c r="B9" s="11"/>
      <c r="C9" s="10">
        <v>70</v>
      </c>
      <c r="D9" s="11">
        <f>COUNTIF(datarange, "&gt;60")-COUNTIF(datarange, "&gt;70")</f>
        <v>11</v>
      </c>
      <c r="E9" s="11"/>
      <c r="F9" s="11"/>
      <c r="G9" s="19"/>
      <c r="J9" s="14" t="s">
        <v>6</v>
      </c>
      <c r="K9" s="31" t="s">
        <v>56</v>
      </c>
      <c r="L9" s="31" t="s">
        <v>106</v>
      </c>
      <c r="M9" s="5">
        <v>60</v>
      </c>
    </row>
    <row r="10" spans="2:13" x14ac:dyDescent="0.3">
      <c r="B10" s="11"/>
      <c r="C10" s="10">
        <v>80</v>
      </c>
      <c r="D10" s="11">
        <f>COUNTIF(datarange, "&gt;70")-COUNTIF(datarange, "&gt;80")</f>
        <v>10</v>
      </c>
      <c r="E10" s="11"/>
      <c r="F10" s="11"/>
      <c r="G10" s="28"/>
      <c r="J10" s="14" t="s">
        <v>7</v>
      </c>
      <c r="K10" s="31" t="s">
        <v>57</v>
      </c>
      <c r="L10" s="31" t="s">
        <v>107</v>
      </c>
      <c r="M10" s="5">
        <v>54</v>
      </c>
    </row>
    <row r="11" spans="2:13" x14ac:dyDescent="0.3">
      <c r="B11" s="11"/>
      <c r="C11" s="10">
        <v>90</v>
      </c>
      <c r="D11" s="11">
        <f>COUNTIF(datarange, "&gt;80")-COUNTIF(datarange, "&gt;90")</f>
        <v>8</v>
      </c>
      <c r="E11" s="11"/>
      <c r="F11" s="11"/>
      <c r="G11" s="28"/>
      <c r="J11" s="14" t="s">
        <v>8</v>
      </c>
      <c r="K11" s="31" t="s">
        <v>58</v>
      </c>
      <c r="L11" s="31" t="s">
        <v>108</v>
      </c>
      <c r="M11" s="5">
        <v>52</v>
      </c>
    </row>
    <row r="12" spans="2:13" x14ac:dyDescent="0.3">
      <c r="B12" s="11"/>
      <c r="C12" s="10">
        <v>100</v>
      </c>
      <c r="D12" s="11">
        <f>COUNTIF(datarange, "&gt;90")</f>
        <v>6</v>
      </c>
      <c r="E12" s="11"/>
      <c r="F12" s="11"/>
      <c r="G12" s="19"/>
      <c r="J12" s="14" t="s">
        <v>9</v>
      </c>
      <c r="K12" s="31" t="s">
        <v>59</v>
      </c>
      <c r="L12" s="31" t="s">
        <v>109</v>
      </c>
      <c r="M12" s="5">
        <v>78</v>
      </c>
    </row>
    <row r="13" spans="2:13" x14ac:dyDescent="0.3">
      <c r="B13" s="11"/>
      <c r="C13" s="10"/>
      <c r="D13" s="11"/>
      <c r="E13" s="11"/>
      <c r="F13" s="11"/>
      <c r="G13" s="19"/>
      <c r="J13" s="14" t="s">
        <v>10</v>
      </c>
      <c r="K13" s="31" t="s">
        <v>60</v>
      </c>
      <c r="L13" s="31" t="s">
        <v>110</v>
      </c>
      <c r="M13" s="5">
        <v>71</v>
      </c>
    </row>
    <row r="14" spans="2:13" x14ac:dyDescent="0.3">
      <c r="B14" s="11"/>
      <c r="C14" s="11"/>
      <c r="D14" s="11"/>
      <c r="E14" s="11"/>
      <c r="F14" s="11"/>
      <c r="G14" s="19"/>
      <c r="J14" s="14" t="s">
        <v>11</v>
      </c>
      <c r="K14" s="31" t="s">
        <v>61</v>
      </c>
      <c r="L14" s="31" t="s">
        <v>111</v>
      </c>
      <c r="M14" s="5">
        <v>59</v>
      </c>
    </row>
    <row r="15" spans="2:13" x14ac:dyDescent="0.3">
      <c r="B15" s="11"/>
      <c r="C15" s="11"/>
      <c r="D15" s="11"/>
      <c r="E15" s="11"/>
      <c r="F15" s="11"/>
      <c r="J15" s="14" t="s">
        <v>12</v>
      </c>
      <c r="K15" s="31" t="s">
        <v>62</v>
      </c>
      <c r="L15" s="31" t="s">
        <v>112</v>
      </c>
      <c r="M15" s="5">
        <v>64</v>
      </c>
    </row>
    <row r="16" spans="2:13" x14ac:dyDescent="0.3">
      <c r="B16" s="11"/>
      <c r="C16" s="11"/>
      <c r="D16" s="11"/>
      <c r="E16" s="11"/>
      <c r="F16" s="11"/>
      <c r="J16" s="14" t="s">
        <v>13</v>
      </c>
      <c r="K16" s="31" t="s">
        <v>63</v>
      </c>
      <c r="L16" s="31" t="s">
        <v>113</v>
      </c>
      <c r="M16" s="5">
        <v>80</v>
      </c>
    </row>
    <row r="17" spans="10:16" x14ac:dyDescent="0.3">
      <c r="J17" s="14" t="s">
        <v>14</v>
      </c>
      <c r="K17" s="31" t="s">
        <v>64</v>
      </c>
      <c r="L17" s="31" t="s">
        <v>114</v>
      </c>
      <c r="M17" s="5">
        <v>71</v>
      </c>
    </row>
    <row r="18" spans="10:16" x14ac:dyDescent="0.3">
      <c r="J18" s="14" t="s">
        <v>15</v>
      </c>
      <c r="K18" s="31" t="s">
        <v>65</v>
      </c>
      <c r="L18" s="31" t="s">
        <v>115</v>
      </c>
      <c r="M18" s="5">
        <v>81</v>
      </c>
    </row>
    <row r="19" spans="10:16" x14ac:dyDescent="0.3">
      <c r="J19" s="14" t="s">
        <v>16</v>
      </c>
      <c r="K19" s="31" t="s">
        <v>66</v>
      </c>
      <c r="L19" s="31" t="s">
        <v>116</v>
      </c>
      <c r="M19" s="5">
        <v>59</v>
      </c>
    </row>
    <row r="20" spans="10:16" x14ac:dyDescent="0.3">
      <c r="J20" s="14" t="s">
        <v>17</v>
      </c>
      <c r="K20" s="31" t="s">
        <v>67</v>
      </c>
      <c r="L20" s="31" t="s">
        <v>117</v>
      </c>
      <c r="M20" s="5">
        <v>52</v>
      </c>
      <c r="O20" s="3" t="s">
        <v>157</v>
      </c>
      <c r="P20" s="26" t="s">
        <v>153</v>
      </c>
    </row>
    <row r="21" spans="10:16" x14ac:dyDescent="0.3">
      <c r="J21" s="14" t="s">
        <v>18</v>
      </c>
      <c r="K21" s="31" t="s">
        <v>68</v>
      </c>
      <c r="L21" s="31" t="s">
        <v>118</v>
      </c>
      <c r="M21" s="5">
        <v>65</v>
      </c>
      <c r="O21" s="22" t="s">
        <v>162</v>
      </c>
      <c r="P21" s="20">
        <f>MIN(datarange)</f>
        <v>47</v>
      </c>
    </row>
    <row r="22" spans="10:16" x14ac:dyDescent="0.3">
      <c r="J22" s="14" t="s">
        <v>19</v>
      </c>
      <c r="K22" s="31" t="s">
        <v>69</v>
      </c>
      <c r="L22" s="31" t="s">
        <v>119</v>
      </c>
      <c r="M22" s="5">
        <v>62</v>
      </c>
      <c r="O22" s="23" t="s">
        <v>163</v>
      </c>
      <c r="P22" s="21">
        <f>MAX(datarange)</f>
        <v>98</v>
      </c>
    </row>
    <row r="23" spans="10:16" x14ac:dyDescent="0.3">
      <c r="J23" s="14" t="s">
        <v>20</v>
      </c>
      <c r="K23" s="31" t="s">
        <v>70</v>
      </c>
      <c r="L23" s="31" t="s">
        <v>120</v>
      </c>
      <c r="M23" s="5">
        <v>87</v>
      </c>
      <c r="O23" s="23" t="s">
        <v>158</v>
      </c>
      <c r="P23" s="21">
        <f>ROUND(AVERAGE(datarange),2)</f>
        <v>70.78</v>
      </c>
    </row>
    <row r="24" spans="10:16" x14ac:dyDescent="0.3">
      <c r="J24" s="14" t="s">
        <v>21</v>
      </c>
      <c r="K24" s="31" t="s">
        <v>71</v>
      </c>
      <c r="L24" s="31" t="s">
        <v>121</v>
      </c>
      <c r="M24" s="5">
        <v>88</v>
      </c>
      <c r="O24" s="23" t="s">
        <v>159</v>
      </c>
      <c r="P24" s="21">
        <f>ROUND(MEDIAN(datarange),2)</f>
        <v>68.5</v>
      </c>
    </row>
    <row r="25" spans="10:16" x14ac:dyDescent="0.3">
      <c r="J25" s="14" t="s">
        <v>22</v>
      </c>
      <c r="K25" s="31" t="s">
        <v>72</v>
      </c>
      <c r="L25" s="31" t="s">
        <v>122</v>
      </c>
      <c r="M25" s="5">
        <v>53</v>
      </c>
      <c r="O25" s="23" t="s">
        <v>160</v>
      </c>
      <c r="P25" s="21">
        <f>_xlfn.MODE.SNGL(datarange)</f>
        <v>60</v>
      </c>
    </row>
    <row r="26" spans="10:16" x14ac:dyDescent="0.3">
      <c r="J26" s="14" t="s">
        <v>23</v>
      </c>
      <c r="K26" s="31" t="s">
        <v>73</v>
      </c>
      <c r="L26" s="31" t="s">
        <v>123</v>
      </c>
      <c r="M26" s="5">
        <v>96</v>
      </c>
      <c r="O26" s="24" t="s">
        <v>161</v>
      </c>
      <c r="P26" s="25">
        <f>ROUND(_xlfn.STDEV.P(datarange),2)</f>
        <v>14.45</v>
      </c>
    </row>
    <row r="27" spans="10:16" x14ac:dyDescent="0.3">
      <c r="J27" s="14" t="s">
        <v>24</v>
      </c>
      <c r="K27" s="31" t="s">
        <v>74</v>
      </c>
      <c r="L27" s="31" t="s">
        <v>124</v>
      </c>
      <c r="M27" s="5">
        <v>81</v>
      </c>
    </row>
    <row r="28" spans="10:16" x14ac:dyDescent="0.3">
      <c r="J28" s="14" t="s">
        <v>25</v>
      </c>
      <c r="K28" s="31" t="s">
        <v>75</v>
      </c>
      <c r="L28" s="31" t="s">
        <v>125</v>
      </c>
      <c r="M28" s="5">
        <v>92</v>
      </c>
    </row>
    <row r="29" spans="10:16" x14ac:dyDescent="0.3">
      <c r="J29" s="14" t="s">
        <v>26</v>
      </c>
      <c r="K29" s="31" t="s">
        <v>76</v>
      </c>
      <c r="L29" s="31" t="s">
        <v>126</v>
      </c>
      <c r="M29" s="5">
        <v>65</v>
      </c>
    </row>
    <row r="30" spans="10:16" x14ac:dyDescent="0.3">
      <c r="J30" s="14" t="s">
        <v>27</v>
      </c>
      <c r="K30" s="31" t="s">
        <v>77</v>
      </c>
      <c r="L30" s="31" t="s">
        <v>127</v>
      </c>
      <c r="M30" s="5">
        <v>56</v>
      </c>
    </row>
    <row r="31" spans="10:16" x14ac:dyDescent="0.3">
      <c r="J31" s="14" t="s">
        <v>28</v>
      </c>
      <c r="K31" s="31" t="s">
        <v>78</v>
      </c>
      <c r="L31" s="31" t="s">
        <v>128</v>
      </c>
      <c r="M31" s="5">
        <v>75</v>
      </c>
    </row>
    <row r="32" spans="10:16" x14ac:dyDescent="0.3">
      <c r="J32" s="14" t="s">
        <v>29</v>
      </c>
      <c r="K32" s="31" t="s">
        <v>79</v>
      </c>
      <c r="L32" s="31" t="s">
        <v>129</v>
      </c>
      <c r="M32" s="5">
        <v>82</v>
      </c>
    </row>
    <row r="33" spans="10:13" x14ac:dyDescent="0.3">
      <c r="J33" s="14" t="s">
        <v>30</v>
      </c>
      <c r="K33" s="31" t="s">
        <v>80</v>
      </c>
      <c r="L33" s="31" t="s">
        <v>130</v>
      </c>
      <c r="M33" s="5">
        <v>89</v>
      </c>
    </row>
    <row r="34" spans="10:13" x14ac:dyDescent="0.3">
      <c r="J34" s="14" t="s">
        <v>31</v>
      </c>
      <c r="K34" s="31" t="s">
        <v>81</v>
      </c>
      <c r="L34" s="31" t="s">
        <v>131</v>
      </c>
      <c r="M34" s="5">
        <v>79</v>
      </c>
    </row>
    <row r="35" spans="10:13" x14ac:dyDescent="0.3">
      <c r="J35" s="14" t="s">
        <v>32</v>
      </c>
      <c r="K35" s="31" t="s">
        <v>82</v>
      </c>
      <c r="L35" s="31" t="s">
        <v>132</v>
      </c>
      <c r="M35" s="5">
        <v>82</v>
      </c>
    </row>
    <row r="36" spans="10:13" x14ac:dyDescent="0.3">
      <c r="J36" s="14" t="s">
        <v>33</v>
      </c>
      <c r="K36" s="31" t="s">
        <v>83</v>
      </c>
      <c r="L36" s="31" t="s">
        <v>133</v>
      </c>
      <c r="M36" s="5">
        <v>53</v>
      </c>
    </row>
    <row r="37" spans="10:13" x14ac:dyDescent="0.3">
      <c r="J37" s="14" t="s">
        <v>34</v>
      </c>
      <c r="K37" s="31" t="s">
        <v>84</v>
      </c>
      <c r="L37" s="31" t="s">
        <v>134</v>
      </c>
      <c r="M37" s="5">
        <v>63</v>
      </c>
    </row>
    <row r="38" spans="10:13" x14ac:dyDescent="0.3">
      <c r="J38" s="14" t="s">
        <v>35</v>
      </c>
      <c r="K38" s="31" t="s">
        <v>85</v>
      </c>
      <c r="L38" s="31" t="s">
        <v>135</v>
      </c>
      <c r="M38" s="5">
        <v>57</v>
      </c>
    </row>
    <row r="39" spans="10:13" x14ac:dyDescent="0.3">
      <c r="J39" s="14" t="s">
        <v>36</v>
      </c>
      <c r="K39" s="31" t="s">
        <v>86</v>
      </c>
      <c r="L39" s="31" t="s">
        <v>136</v>
      </c>
      <c r="M39" s="5">
        <v>77</v>
      </c>
    </row>
    <row r="40" spans="10:13" x14ac:dyDescent="0.3">
      <c r="J40" s="14" t="s">
        <v>37</v>
      </c>
      <c r="K40" s="31" t="s">
        <v>87</v>
      </c>
      <c r="L40" s="31" t="s">
        <v>137</v>
      </c>
      <c r="M40" s="5">
        <v>70</v>
      </c>
    </row>
    <row r="41" spans="10:13" x14ac:dyDescent="0.3">
      <c r="J41" s="14" t="s">
        <v>38</v>
      </c>
      <c r="K41" s="31" t="s">
        <v>88</v>
      </c>
      <c r="L41" s="31" t="s">
        <v>138</v>
      </c>
      <c r="M41" s="5">
        <v>63</v>
      </c>
    </row>
    <row r="42" spans="10:13" x14ac:dyDescent="0.3">
      <c r="J42" s="14" t="s">
        <v>39</v>
      </c>
      <c r="K42" s="31" t="s">
        <v>89</v>
      </c>
      <c r="L42" s="31" t="s">
        <v>139</v>
      </c>
      <c r="M42" s="5">
        <v>79</v>
      </c>
    </row>
    <row r="43" spans="10:13" x14ac:dyDescent="0.3">
      <c r="J43" s="14" t="s">
        <v>40</v>
      </c>
      <c r="K43" s="31" t="s">
        <v>90</v>
      </c>
      <c r="L43" s="31" t="s">
        <v>140</v>
      </c>
      <c r="M43" s="5">
        <v>63</v>
      </c>
    </row>
    <row r="44" spans="10:13" x14ac:dyDescent="0.3">
      <c r="J44" s="14" t="s">
        <v>41</v>
      </c>
      <c r="K44" s="31" t="s">
        <v>91</v>
      </c>
      <c r="L44" s="31" t="s">
        <v>141</v>
      </c>
      <c r="M44" s="5">
        <v>96</v>
      </c>
    </row>
    <row r="45" spans="10:13" x14ac:dyDescent="0.3">
      <c r="J45" s="14" t="s">
        <v>42</v>
      </c>
      <c r="K45" s="31" t="s">
        <v>92</v>
      </c>
      <c r="L45" s="31" t="s">
        <v>142</v>
      </c>
      <c r="M45" s="5">
        <v>97</v>
      </c>
    </row>
    <row r="46" spans="10:13" x14ac:dyDescent="0.3">
      <c r="J46" s="14" t="s">
        <v>43</v>
      </c>
      <c r="K46" s="31" t="s">
        <v>93</v>
      </c>
      <c r="L46" s="31" t="s">
        <v>143</v>
      </c>
      <c r="M46" s="5">
        <v>67</v>
      </c>
    </row>
    <row r="47" spans="10:13" x14ac:dyDescent="0.3">
      <c r="J47" s="14" t="s">
        <v>44</v>
      </c>
      <c r="K47" s="31" t="s">
        <v>94</v>
      </c>
      <c r="L47" s="31" t="s">
        <v>144</v>
      </c>
      <c r="M47" s="5">
        <v>86</v>
      </c>
    </row>
    <row r="48" spans="10:13" x14ac:dyDescent="0.3">
      <c r="J48" s="14" t="s">
        <v>45</v>
      </c>
      <c r="K48" s="31" t="s">
        <v>95</v>
      </c>
      <c r="L48" s="31" t="s">
        <v>145</v>
      </c>
      <c r="M48" s="5">
        <v>50</v>
      </c>
    </row>
    <row r="49" spans="10:13" x14ac:dyDescent="0.3">
      <c r="J49" s="14" t="s">
        <v>46</v>
      </c>
      <c r="K49" s="31" t="s">
        <v>96</v>
      </c>
      <c r="L49" s="31" t="s">
        <v>146</v>
      </c>
      <c r="M49" s="5">
        <v>77</v>
      </c>
    </row>
    <row r="50" spans="10:13" x14ac:dyDescent="0.3">
      <c r="J50" s="14" t="s">
        <v>47</v>
      </c>
      <c r="K50" s="31" t="s">
        <v>97</v>
      </c>
      <c r="L50" s="31" t="s">
        <v>147</v>
      </c>
      <c r="M50" s="5">
        <v>98</v>
      </c>
    </row>
    <row r="51" spans="10:13" x14ac:dyDescent="0.3">
      <c r="J51" s="14" t="s">
        <v>48</v>
      </c>
      <c r="K51" s="31" t="s">
        <v>98</v>
      </c>
      <c r="L51" s="31" t="s">
        <v>148</v>
      </c>
      <c r="M51" s="5">
        <v>47</v>
      </c>
    </row>
    <row r="52" spans="10:13" x14ac:dyDescent="0.3">
      <c r="J52" s="15" t="s">
        <v>49</v>
      </c>
      <c r="K52" s="6" t="s">
        <v>99</v>
      </c>
      <c r="L52" s="6" t="s">
        <v>149</v>
      </c>
      <c r="M52" s="7">
        <v>72</v>
      </c>
    </row>
  </sheetData>
  <sheetProtection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displayChartButton">
                <anchor moveWithCells="1" sizeWithCells="1">
                  <from>
                    <xdr:col>13</xdr:col>
                    <xdr:colOff>182880</xdr:colOff>
                    <xdr:row>1</xdr:row>
                    <xdr:rowOff>0</xdr:rowOff>
                  </from>
                  <to>
                    <xdr:col>15</xdr:col>
                    <xdr:colOff>320040</xdr:colOff>
                    <xdr:row>4</xdr:row>
                    <xdr:rowOff>0</xdr:rowOff>
                  </to>
                </anchor>
              </controlPr>
            </control>
          </mc:Choice>
        </mc:AlternateContent>
        <mc:AlternateContent xmlns:mc="http://schemas.openxmlformats.org/markup-compatibility/2006">
          <mc:Choice Requires="x14">
            <control shapeId="25603" r:id="rId5" name="Button 3">
              <controlPr defaultSize="0" print="0" autoFill="0" autoPict="0" macro="[0]!hideChartButton">
                <anchor moveWithCells="1" sizeWithCells="1">
                  <from>
                    <xdr:col>19</xdr:col>
                    <xdr:colOff>167640</xdr:colOff>
                    <xdr:row>5</xdr:row>
                    <xdr:rowOff>45720</xdr:rowOff>
                  </from>
                  <to>
                    <xdr:col>20</xdr:col>
                    <xdr:colOff>403860</xdr:colOff>
                    <xdr:row>7</xdr:row>
                    <xdr:rowOff>22860</xdr:rowOff>
                  </to>
                </anchor>
              </controlPr>
            </control>
          </mc:Choice>
        </mc:AlternateContent>
        <mc:AlternateContent xmlns:mc="http://schemas.openxmlformats.org/markup-compatibility/2006">
          <mc:Choice Requires="x14">
            <control shapeId="25605" r:id="rId6" name="Button 5">
              <controlPr defaultSize="0" print="0" autoFill="0" autoPict="0" macro="[0]!closeButton">
                <anchor moveWithCells="1" sizeWithCells="1">
                  <from>
                    <xdr:col>0</xdr:col>
                    <xdr:colOff>99060</xdr:colOff>
                    <xdr:row>0</xdr:row>
                    <xdr:rowOff>76200</xdr:rowOff>
                  </from>
                  <to>
                    <xdr:col>1</xdr:col>
                    <xdr:colOff>472440</xdr:colOff>
                    <xdr:row>2</xdr:row>
                    <xdr:rowOff>83820</xdr:rowOff>
                  </to>
                </anchor>
              </controlPr>
            </control>
          </mc:Choice>
        </mc:AlternateContent>
      </controls>
    </mc:Choice>
  </mc:AlternateContent>
</worksheet>
</file>

<file path=customUI/customUI14.xml><?xml version="1.0" encoding="utf-8"?>
<customUI xmlns="http://schemas.microsoft.com/office/2009/07/customui">
  <ribbon startFromScratch="false">
    <tabs>
      <tab id="customTab" label="Grades">
        <group id="customGroup" label="Application">
          <button id="customButton" label="Assignment Grades" imageMso="Calculator" size="large" onAction="displayUserForm"/>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Instructions</vt:lpstr>
      <vt:lpstr>Enrolled Students</vt:lpstr>
      <vt:lpstr>datarange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Matteo Passalent</dc:creator>
  <cp:lastModifiedBy>Matteo Passalent</cp:lastModifiedBy>
  <dcterms:created xsi:type="dcterms:W3CDTF">2023-04-03T18:37:42Z</dcterms:created>
  <dcterms:modified xsi:type="dcterms:W3CDTF">2023-04-11T05:44:31Z</dcterms:modified>
</cp:coreProperties>
</file>